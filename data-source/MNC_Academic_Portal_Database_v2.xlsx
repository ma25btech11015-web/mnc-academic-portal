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TINGS" sheetId="1" state="visible" r:id="rId3"/>
    <sheet name="TIMETABLE" sheetId="2" state="visible" r:id="rId4"/>
    <sheet name="COURSES" sheetId="3" state="visible" r:id="rId5"/>
    <sheet name="ASSESSMENTS" sheetId="4" state="visible" r:id="rId6"/>
    <sheet name="RESOURCES" sheetId="5" state="visible" r:id="rId7"/>
    <sheet name="ACADEMIC_EVENTS" sheetId="6" state="visible" r:id="rId8"/>
    <sheet name="REMINDER_SETTINGS" sheetId="7" state="visible" r:id="rId9"/>
    <sheet name="ANNOUNCEMENTS" sheetId="8" state="visible" r:id="rId10"/>
    <sheet name="OTHER_ANNOUNCEM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<sst xmlns="http://schemas.openxmlformats.org/spreadsheetml/2006/main" count="224" uniqueCount="102">
  <si>
    <t xml:space="preserve">Key</t>
  </si>
  <si>
    <t xml:space="preserve">Value</t>
  </si>
  <si>
    <t xml:space="preserve">batch</t>
  </si>
  <si>
    <t xml:space="preserve">2025-2029</t>
  </si>
  <si>
    <t xml:space="preserve">department</t>
  </si>
  <si>
    <t xml:space="preserve">Mathematics and Computing</t>
  </si>
  <si>
    <t xml:space="preserve">institute</t>
  </si>
  <si>
    <t xml:space="preserve">Indian Institute of Technology, Hyderabad</t>
  </si>
  <si>
    <t xml:space="preserve">active_semester</t>
  </si>
  <si>
    <t xml:space="preserve">3rd Semester</t>
  </si>
  <si>
    <t xml:space="preserve">academic_year</t>
  </si>
  <si>
    <t xml:space="preserve">2026-2027</t>
  </si>
  <si>
    <t xml:space="preserve">Semester</t>
  </si>
  <si>
    <t xml:space="preserve">Date</t>
  </si>
  <si>
    <t xml:space="preserve">Day</t>
  </si>
  <si>
    <t xml:space="preserve">Start Time</t>
  </si>
  <si>
    <t xml:space="preserve">End Time</t>
  </si>
  <si>
    <t xml:space="preserve">Course ID</t>
  </si>
  <si>
    <t xml:space="preserve">Course Name</t>
  </si>
  <si>
    <t xml:space="preserve">Instructor</t>
  </si>
  <si>
    <t xml:space="preserve">Venue</t>
  </si>
  <si>
    <t xml:space="preserve">Status</t>
  </si>
  <si>
    <t xml:space="preserve">Actual Start</t>
  </si>
  <si>
    <t xml:space="preserve">Actual End</t>
  </si>
  <si>
    <t xml:space="preserve">Delay</t>
  </si>
  <si>
    <t xml:space="preserve">Delay Reason</t>
  </si>
  <si>
    <t xml:space="preserve">Last Updated</t>
  </si>
  <si>
    <t xml:space="preserve">Monday</t>
  </si>
  <si>
    <t xml:space="preserve">09:00</t>
  </si>
  <si>
    <t xml:space="preserve">10:00</t>
  </si>
  <si>
    <t xml:space="preserve">DSA Lab</t>
  </si>
  <si>
    <t xml:space="preserve">Scheduled</t>
  </si>
  <si>
    <t xml:space="preserve">12:00</t>
  </si>
  <si>
    <t xml:space="preserve">13:00</t>
  </si>
  <si>
    <t xml:space="preserve">Metric Spaces</t>
  </si>
  <si>
    <t xml:space="preserve">14:30</t>
  </si>
  <si>
    <t xml:space="preserve">16:00</t>
  </si>
  <si>
    <t xml:space="preserve">DSA</t>
  </si>
  <si>
    <t xml:space="preserve">17:30</t>
  </si>
  <si>
    <t xml:space="preserve">OS - 1</t>
  </si>
  <si>
    <t xml:space="preserve">Tuesday</t>
  </si>
  <si>
    <t xml:space="preserve">11:00</t>
  </si>
  <si>
    <t xml:space="preserve">LSSP</t>
  </si>
  <si>
    <t xml:space="preserve">Linear Algebra</t>
  </si>
  <si>
    <t xml:space="preserve">Probability Theory</t>
  </si>
  <si>
    <t xml:space="preserve">Wednesday</t>
  </si>
  <si>
    <t xml:space="preserve">Thursday</t>
  </si>
  <si>
    <t xml:space="preserve">Friday</t>
  </si>
  <si>
    <t xml:space="preserve">Credits</t>
  </si>
  <si>
    <t xml:space="preserve">Course Type</t>
  </si>
  <si>
    <t xml:space="preserve">Default Venue</t>
  </si>
  <si>
    <t xml:space="preserve">Short Description</t>
  </si>
  <si>
    <t xml:space="preserve">Detailed Syllabus</t>
  </si>
  <si>
    <t xml:space="preserve">Course Website</t>
  </si>
  <si>
    <t xml:space="preserve">Instructor Email</t>
  </si>
  <si>
    <t xml:space="preserve">Active</t>
  </si>
  <si>
    <t xml:space="preserve">MA2233</t>
  </si>
  <si>
    <t xml:space="preserve">Lab</t>
  </si>
  <si>
    <t xml:space="preserve">MA220</t>
  </si>
  <si>
    <t xml:space="preserve">vikas.sk@math.iith.ac.in</t>
  </si>
  <si>
    <t xml:space="preserve">TRUE</t>
  </si>
  <si>
    <t xml:space="preserve">MA2150</t>
  </si>
  <si>
    <t xml:space="preserve">Theory</t>
  </si>
  <si>
    <t xml:space="preserve">LHC4</t>
  </si>
  <si>
    <t xml:space="preserve">ID2230</t>
  </si>
  <si>
    <t xml:space="preserve">LHC5</t>
  </si>
  <si>
    <t xml:space="preserve">CS3510</t>
  </si>
  <si>
    <t xml:space="preserve">EE1206</t>
  </si>
  <si>
    <t xml:space="preserve">sundar.vanka@ee.iith.ac.in</t>
  </si>
  <si>
    <t xml:space="preserve">MA2550</t>
  </si>
  <si>
    <t xml:space="preserve">LHC3</t>
  </si>
  <si>
    <t xml:space="preserve">aiyappan@math.iith.ac.in</t>
  </si>
  <si>
    <t xml:space="preserve">MA2540</t>
  </si>
  <si>
    <t xml:space="preserve">MA01</t>
  </si>
  <si>
    <t xml:space="preserve">arun.majum@math.iith.ac.in</t>
  </si>
  <si>
    <t xml:space="preserve">Assessment ID</t>
  </si>
  <si>
    <t xml:space="preserve">Assessment Type</t>
  </si>
  <si>
    <t xml:space="preserve">Assessment Name</t>
  </si>
  <si>
    <t xml:space="preserve">Weightage</t>
  </si>
  <si>
    <t xml:space="preserve">Syllabus Coverage</t>
  </si>
  <si>
    <t xml:space="preserve">Surprise Quiz</t>
  </si>
  <si>
    <t xml:space="preserve">Question Paper Link</t>
  </si>
  <si>
    <t xml:space="preserve">Solution Link</t>
  </si>
  <si>
    <t xml:space="preserve">Result Link</t>
  </si>
  <si>
    <t xml:space="preserve">Notes</t>
  </si>
  <si>
    <t xml:space="preserve">Resource ID</t>
  </si>
  <si>
    <t xml:space="preserve">Resource Type</t>
  </si>
  <si>
    <t xml:space="preserve">Title</t>
  </si>
  <si>
    <t xml:space="preserve">Description</t>
  </si>
  <si>
    <t xml:space="preserve">Google Drive URL</t>
  </si>
  <si>
    <t xml:space="preserve">Visibility</t>
  </si>
  <si>
    <t xml:space="preserve">Tags</t>
  </si>
  <si>
    <t xml:space="preserve">Event ID</t>
  </si>
  <si>
    <t xml:space="preserve">Event Type</t>
  </si>
  <si>
    <t xml:space="preserve">Event Name</t>
  </si>
  <si>
    <t xml:space="preserve">Link</t>
  </si>
  <si>
    <t xml:space="preserve">Reminder ID</t>
  </si>
  <si>
    <t xml:space="preserve">Reminder Timing</t>
  </si>
  <si>
    <t xml:space="preserve">Enabled</t>
  </si>
  <si>
    <t xml:space="preserve">Message Template</t>
  </si>
  <si>
    <t xml:space="preserve">Announcement ID</t>
  </si>
  <si>
    <t xml:space="preserve">Priority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</si>
</sst>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8"/>
      <color rgb="FF241B19"/>
      <name val="Ui-monospace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241B19"/>
      </patternFill>
    </fill>
    <fill>
      <patternFill patternType="solid">
        <fgColor rgb="FFF3EFE8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41B19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26" min="3" style="0" width="8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6" min="1" style="0" width="14"/>
    <col collapsed="false" customWidth="true" hidden="false" outlineLevel="0" max="7" min="7" style="0" width="15"/>
    <col collapsed="false" customWidth="true" hidden="false" outlineLevel="0" max="10" min="8" style="0" width="14"/>
    <col collapsed="false" customWidth="true" hidden="false" outlineLevel="0" max="11" min="11" style="0" width="16"/>
    <col collapsed="false" customWidth="true" hidden="false" outlineLevel="0" max="13" min="12" style="0" width="14"/>
    <col collapsed="false" customWidth="true" hidden="false" outlineLevel="0" max="15" min="14" style="0" width="16"/>
    <col collapsed="false" customWidth="true" hidden="false" outlineLevel="0" max="26" min="16" style="0" width="8.71"/>
  </cols>
  <sheetData>
    <row r="1" customFormat="false" ht="15" hidden="false" customHeight="false" outlineLevel="0" collapsed="false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</row>
    <row r="2" customFormat="false" ht="15" hidden="false" customHeight="false" outlineLevel="0" collapsed="false">
      <c r="A2" s="2" t="str">
        <f aca="false">SETTINGS!$B$5</f>
        <v>3rd Semester</v>
      </c>
      <c r="B2" s="2"/>
      <c r="C2" s="2" t="s">
        <v>27</v>
      </c>
      <c r="D2" s="2" t="s">
        <v>28</v>
      </c>
      <c r="E2" s="2" t="s">
        <v>29</v>
      </c>
      <c r="F2" s="2" t="str">
        <f aca="false">IFERROR(INDEX(COURSES!$A:$A,MATCH($G2,COURSES!$B:$B,0)),"")</f>
        <v>MA2233</v>
      </c>
      <c r="G2" s="2" t="s">
        <v>30</v>
      </c>
      <c r="H2" s="2" t="str">
        <f aca="false">IFERROR(INDEX(COURSES!$C:$C,MATCH($G2,COURSES!$B:$B,0))&amp;"","")</f>
        <v/>
      </c>
      <c r="I2" s="2" t="str">
        <f aca="false">IFERROR(INDEX(COURSES!$F:$F,MATCH($G2,COURSES!$B:$B,0)),"")</f>
        <v>MA220</v>
      </c>
      <c r="J2" s="2" t="s">
        <v>31</v>
      </c>
      <c r="K2" s="2"/>
      <c r="L2" s="2"/>
      <c r="M2" s="2"/>
      <c r="N2" s="2"/>
      <c r="O2" s="2"/>
    </row>
    <row r="3" customFormat="false" ht="15" hidden="false" customHeight="false" outlineLevel="0" collapsed="false">
      <c r="A3" s="2" t="str">
        <f aca="false">SETTINGS!$B$5</f>
        <v>3rd Semester</v>
      </c>
      <c r="B3" s="2"/>
      <c r="C3" s="2" t="s">
        <v>27</v>
      </c>
      <c r="D3" s="2" t="s">
        <v>32</v>
      </c>
      <c r="E3" s="2" t="s">
        <v>33</v>
      </c>
      <c r="F3" s="2" t="str">
        <f aca="false">IFERROR(INDEX(COURSES!$A:$A,MATCH($G3,COURSES!$B:$B,0)),"")</f>
        <v>MA2150</v>
      </c>
      <c r="G3" s="2" t="s">
        <v>34</v>
      </c>
      <c r="H3" s="2" t="str">
        <f aca="false">IFERROR(INDEX(COURSES!$C:$C,MATCH($G3,COURSES!$B:$B,0))&amp;"","")</f>
        <v/>
      </c>
      <c r="I3" s="2" t="str">
        <f aca="false">IFERROR(INDEX(COURSES!$F:$F,MATCH($G3,COURSES!$B:$B,0)),"")</f>
        <v>LHC4</v>
      </c>
      <c r="J3" s="2" t="s">
        <v>31</v>
      </c>
      <c r="K3" s="2"/>
      <c r="L3" s="2"/>
      <c r="M3" s="2"/>
      <c r="N3" s="2"/>
      <c r="O3" s="2"/>
    </row>
    <row r="4" customFormat="false" ht="15" hidden="false" customHeight="false" outlineLevel="0" collapsed="false">
      <c r="A4" s="2" t="str">
        <f aca="false">SETTINGS!$B$5</f>
        <v>3rd Semester</v>
      </c>
      <c r="B4" s="2"/>
      <c r="C4" s="2" t="s">
        <v>27</v>
      </c>
      <c r="D4" s="2" t="s">
        <v>35</v>
      </c>
      <c r="E4" s="2" t="s">
        <v>36</v>
      </c>
      <c r="F4" s="2" t="str">
        <f aca="false">IFERROR(INDEX(COURSES!$A:$A,MATCH($G4,COURSES!$B:$B,0)),"")</f>
        <v>ID2230</v>
      </c>
      <c r="G4" s="2" t="s">
        <v>37</v>
      </c>
      <c r="H4" s="2" t="str">
        <f aca="false">IFERROR(INDEX(COURSES!$C:$C,MATCH($G4,COURSES!$B:$B,0))&amp;"","")</f>
        <v/>
      </c>
      <c r="I4" s="2" t="str">
        <f aca="false">IFERROR(INDEX(COURSES!$F:$F,MATCH($G4,COURSES!$B:$B,0)),"")</f>
        <v>LHC5</v>
      </c>
      <c r="J4" s="2" t="s">
        <v>31</v>
      </c>
      <c r="K4" s="2"/>
      <c r="L4" s="2"/>
      <c r="M4" s="2"/>
      <c r="N4" s="2"/>
      <c r="O4" s="2"/>
    </row>
    <row r="5" customFormat="false" ht="15" hidden="false" customHeight="false" outlineLevel="0" collapsed="false">
      <c r="A5" s="2" t="str">
        <f aca="false">SETTINGS!$B$5</f>
        <v>3rd Semester</v>
      </c>
      <c r="B5" s="2"/>
      <c r="C5" s="2" t="s">
        <v>27</v>
      </c>
      <c r="D5" s="2" t="s">
        <v>36</v>
      </c>
      <c r="E5" s="2" t="s">
        <v>38</v>
      </c>
      <c r="F5" s="2" t="str">
        <f aca="false">IFERROR(INDEX(COURSES!$A:$A,MATCH($G5,COURSES!$B:$B,0)),"")</f>
        <v>CS3510</v>
      </c>
      <c r="G5" s="2" t="s">
        <v>39</v>
      </c>
      <c r="H5" s="2" t="str">
        <f aca="false">IFERROR(INDEX(COURSES!$C:$C,MATCH($G5,COURSES!$B:$B,0))&amp;"","")</f>
        <v/>
      </c>
      <c r="I5" s="2" t="str">
        <f aca="false">IFERROR(INDEX(COURSES!$F:$F,MATCH($G5,COURSES!$B:$B,0)),"")</f>
        <v>LHC4</v>
      </c>
      <c r="J5" s="2" t="s">
        <v>31</v>
      </c>
      <c r="K5" s="2"/>
      <c r="L5" s="2"/>
      <c r="M5" s="2"/>
      <c r="N5" s="2"/>
      <c r="O5" s="2"/>
    </row>
    <row r="6" customFormat="false" ht="15" hidden="false" customHeight="false" outlineLevel="0" collapsed="false">
      <c r="A6" s="2" t="str">
        <f aca="false">SETTINGS!$B$5</f>
        <v>3rd Semester</v>
      </c>
      <c r="B6" s="2"/>
      <c r="C6" s="2" t="s">
        <v>40</v>
      </c>
      <c r="D6" s="2" t="s">
        <v>28</v>
      </c>
      <c r="E6" s="2" t="s">
        <v>29</v>
      </c>
      <c r="F6" s="2" t="str">
        <f aca="false">IFERROR(INDEX(COURSES!$A:$A,MATCH($G6,COURSES!$B:$B,0)),"")</f>
        <v>MA2150</v>
      </c>
      <c r="G6" s="2" t="s">
        <v>34</v>
      </c>
      <c r="H6" s="2" t="str">
        <f aca="false">IFERROR(INDEX(COURSES!$C:$C,MATCH($G6,COURSES!$B:$B,0))&amp;"","")</f>
        <v/>
      </c>
      <c r="I6" s="2" t="str">
        <f aca="false">IFERROR(INDEX(COURSES!$F:$F,MATCH($G6,COURSES!$B:$B,0)),"")</f>
        <v>LHC4</v>
      </c>
      <c r="J6" s="2" t="s">
        <v>31</v>
      </c>
      <c r="K6" s="2"/>
      <c r="L6" s="2"/>
      <c r="M6" s="2"/>
      <c r="N6" s="2"/>
      <c r="O6" s="2"/>
    </row>
    <row r="7" customFormat="false" ht="15" hidden="false" customHeight="false" outlineLevel="0" collapsed="false">
      <c r="A7" s="2" t="str">
        <f aca="false">SETTINGS!$B$5</f>
        <v>3rd Semester</v>
      </c>
      <c r="B7" s="2"/>
      <c r="C7" s="2" t="s">
        <v>40</v>
      </c>
      <c r="D7" s="2" t="s">
        <v>29</v>
      </c>
      <c r="E7" s="2" t="s">
        <v>41</v>
      </c>
      <c r="F7" s="2" t="str">
        <f aca="false">IFERROR(INDEX(COURSES!$A:$A,MATCH($G7,COURSES!$B:$B,0)),"")</f>
        <v>EE1206</v>
      </c>
      <c r="G7" s="2" t="s">
        <v>42</v>
      </c>
      <c r="H7" s="2" t="str">
        <f aca="false">IFERROR(INDEX(COURSES!$C:$C,MATCH($G7,COURSES!$B:$B,0))&amp;"","")</f>
        <v/>
      </c>
      <c r="I7" s="2" t="str">
        <f aca="false">IFERROR(INDEX(COURSES!$F:$F,MATCH($G7,COURSES!$B:$B,0)),"")</f>
        <v>LHC4</v>
      </c>
      <c r="J7" s="2" t="s">
        <v>31</v>
      </c>
      <c r="K7" s="2"/>
      <c r="L7" s="2"/>
      <c r="M7" s="2"/>
      <c r="N7" s="2"/>
      <c r="O7" s="2"/>
    </row>
    <row r="8" customFormat="false" ht="15" hidden="false" customHeight="false" outlineLevel="0" collapsed="false">
      <c r="A8" s="2" t="str">
        <f aca="false">SETTINGS!$B$5</f>
        <v>3rd Semester</v>
      </c>
      <c r="B8" s="2"/>
      <c r="C8" s="2" t="s">
        <v>40</v>
      </c>
      <c r="D8" s="2" t="s">
        <v>41</v>
      </c>
      <c r="E8" s="2" t="s">
        <v>32</v>
      </c>
      <c r="F8" s="2" t="str">
        <f aca="false">IFERROR(INDEX(COURSES!$A:$A,MATCH($G8,COURSES!$B:$B,0)),"")</f>
        <v>MA2550</v>
      </c>
      <c r="G8" s="2" t="s">
        <v>43</v>
      </c>
      <c r="H8" s="2" t="str">
        <f aca="false">IFERROR(INDEX(COURSES!$C:$C,MATCH($G8,COURSES!$B:$B,0))&amp;"","")</f>
        <v/>
      </c>
      <c r="I8" s="2" t="str">
        <f aca="false">IFERROR(INDEX(COURSES!$F:$F,MATCH($G8,COURSES!$B:$B,0)),"")</f>
        <v>LHC3</v>
      </c>
      <c r="J8" s="2" t="s">
        <v>31</v>
      </c>
      <c r="K8" s="2"/>
      <c r="L8" s="2"/>
      <c r="M8" s="2"/>
      <c r="N8" s="2"/>
      <c r="O8" s="2"/>
    </row>
    <row r="9" customFormat="false" ht="15" hidden="false" customHeight="false" outlineLevel="0" collapsed="false">
      <c r="A9" s="2" t="str">
        <f aca="false">SETTINGS!$B$5</f>
        <v>3rd Semester</v>
      </c>
      <c r="B9" s="2"/>
      <c r="C9" s="2" t="s">
        <v>40</v>
      </c>
      <c r="D9" s="2" t="s">
        <v>36</v>
      </c>
      <c r="E9" s="2" t="s">
        <v>38</v>
      </c>
      <c r="F9" s="2" t="str">
        <f aca="false">IFERROR(INDEX(COURSES!$A:$A,MATCH($G9,COURSES!$B:$B,0)),"")</f>
        <v>MA2540</v>
      </c>
      <c r="G9" s="2" t="s">
        <v>44</v>
      </c>
      <c r="H9" s="2" t="str">
        <f aca="false">IFERROR(INDEX(COURSES!$C:$C,MATCH($G9,COURSES!$B:$B,0))&amp;"","")</f>
        <v/>
      </c>
      <c r="I9" s="2" t="str">
        <f aca="false">IFERROR(INDEX(COURSES!$F:$F,MATCH($G9,COURSES!$B:$B,0)),"")</f>
        <v>MA01</v>
      </c>
      <c r="J9" s="2" t="s">
        <v>31</v>
      </c>
      <c r="K9" s="2"/>
      <c r="L9" s="2"/>
      <c r="M9" s="2"/>
      <c r="N9" s="2"/>
      <c r="O9" s="2"/>
    </row>
    <row r="10" customFormat="false" ht="15" hidden="false" customHeight="false" outlineLevel="0" collapsed="false">
      <c r="A10" s="2" t="str">
        <f aca="false">SETTINGS!$B$5</f>
        <v>3rd Semester</v>
      </c>
      <c r="B10" s="2"/>
      <c r="C10" s="2" t="s">
        <v>45</v>
      </c>
      <c r="D10" s="2" t="s">
        <v>41</v>
      </c>
      <c r="E10" s="2" t="s">
        <v>32</v>
      </c>
      <c r="F10" s="2" t="str">
        <f aca="false">IFERROR(INDEX(COURSES!$A:$A,MATCH($G10,COURSES!$B:$B,0)),"")</f>
        <v>MA2233</v>
      </c>
      <c r="G10" s="2" t="s">
        <v>30</v>
      </c>
      <c r="H10" s="2" t="str">
        <f aca="false">IFERROR(INDEX(COURSES!$C:$C,MATCH($G10,COURSES!$B:$B,0))&amp;"","")</f>
        <v/>
      </c>
      <c r="I10" s="2" t="str">
        <f aca="false">IFERROR(INDEX(COURSES!$F:$F,MATCH($G10,COURSES!$B:$B,0)),"")</f>
        <v>MA220</v>
      </c>
      <c r="J10" s="2" t="s">
        <v>31</v>
      </c>
      <c r="K10" s="2"/>
      <c r="L10" s="2"/>
      <c r="M10" s="2"/>
      <c r="N10" s="2"/>
      <c r="O10" s="2"/>
    </row>
    <row r="11" customFormat="false" ht="15" hidden="false" customHeight="false" outlineLevel="0" collapsed="false">
      <c r="A11" s="2" t="str">
        <f aca="false">SETTINGS!$B$5</f>
        <v>3rd Semester</v>
      </c>
      <c r="B11" s="2"/>
      <c r="C11" s="2" t="s">
        <v>45</v>
      </c>
      <c r="D11" s="2" t="s">
        <v>35</v>
      </c>
      <c r="E11" s="2" t="s">
        <v>36</v>
      </c>
      <c r="F11" s="2" t="str">
        <f aca="false">IFERROR(INDEX(COURSES!$A:$A,MATCH($G11,COURSES!$B:$B,0)),"")</f>
        <v>MA2550</v>
      </c>
      <c r="G11" s="2" t="s">
        <v>43</v>
      </c>
      <c r="H11" s="2" t="str">
        <f aca="false">IFERROR(INDEX(COURSES!$C:$C,MATCH($G11,COURSES!$B:$B,0))&amp;"","")</f>
        <v/>
      </c>
      <c r="I11" s="2" t="str">
        <f aca="false">IFERROR(INDEX(COURSES!$F:$F,MATCH($G11,COURSES!$B:$B,0)),"")</f>
        <v>LHC3</v>
      </c>
      <c r="J11" s="2" t="s">
        <v>31</v>
      </c>
      <c r="K11" s="2"/>
      <c r="L11" s="2"/>
      <c r="M11" s="2"/>
      <c r="N11" s="2"/>
      <c r="O11" s="2"/>
    </row>
    <row r="12" customFormat="false" ht="15" hidden="false" customHeight="false" outlineLevel="0" collapsed="false">
      <c r="A12" s="2" t="str">
        <f aca="false">SETTINGS!$B$5</f>
        <v>3rd Semester</v>
      </c>
      <c r="B12" s="2"/>
      <c r="C12" s="2" t="s">
        <v>46</v>
      </c>
      <c r="D12" s="2" t="s">
        <v>29</v>
      </c>
      <c r="E12" s="2" t="s">
        <v>41</v>
      </c>
      <c r="F12" s="2" t="str">
        <f aca="false">IFERROR(INDEX(COURSES!$A:$A,MATCH($G12,COURSES!$B:$B,0)),"")</f>
        <v>MA2233</v>
      </c>
      <c r="G12" s="2" t="s">
        <v>30</v>
      </c>
      <c r="H12" s="2" t="str">
        <f aca="false">IFERROR(INDEX(COURSES!$C:$C,MATCH($G12,COURSES!$B:$B,0))&amp;"","")</f>
        <v/>
      </c>
      <c r="I12" s="2" t="str">
        <f aca="false">IFERROR(INDEX(COURSES!$F:$F,MATCH($G12,COURSES!$B:$B,0)),"")</f>
        <v>MA220</v>
      </c>
      <c r="J12" s="2" t="s">
        <v>31</v>
      </c>
      <c r="K12" s="2"/>
      <c r="L12" s="2"/>
      <c r="M12" s="2"/>
      <c r="N12" s="2"/>
      <c r="O12" s="2"/>
    </row>
    <row r="13" customFormat="false" ht="15" hidden="false" customHeight="false" outlineLevel="0" collapsed="false">
      <c r="A13" s="2" t="str">
        <f aca="false">SETTINGS!$B$5</f>
        <v>3rd Semester</v>
      </c>
      <c r="B13" s="2"/>
      <c r="C13" s="2" t="s">
        <v>46</v>
      </c>
      <c r="D13" s="2" t="s">
        <v>32</v>
      </c>
      <c r="E13" s="2" t="s">
        <v>33</v>
      </c>
      <c r="F13" s="2" t="str">
        <f aca="false">IFERROR(INDEX(COURSES!$A:$A,MATCH($G13,COURSES!$B:$B,0)),"")</f>
        <v>EE1206</v>
      </c>
      <c r="G13" s="2" t="s">
        <v>42</v>
      </c>
      <c r="H13" s="2" t="str">
        <f aca="false">IFERROR(INDEX(COURSES!$C:$C,MATCH($G13,COURSES!$B:$B,0))&amp;"","")</f>
        <v/>
      </c>
      <c r="I13" s="2" t="str">
        <f aca="false">IFERROR(INDEX(COURSES!$F:$F,MATCH($G13,COURSES!$B:$B,0)),"")</f>
        <v>LHC4</v>
      </c>
      <c r="J13" s="2" t="s">
        <v>31</v>
      </c>
      <c r="K13" s="2"/>
      <c r="L13" s="2"/>
      <c r="M13" s="2"/>
      <c r="N13" s="2"/>
      <c r="O13" s="2"/>
    </row>
    <row r="14" customFormat="false" ht="15" hidden="false" customHeight="false" outlineLevel="0" collapsed="false">
      <c r="A14" s="2" t="str">
        <f aca="false">SETTINGS!$B$5</f>
        <v>3rd Semester</v>
      </c>
      <c r="B14" s="2"/>
      <c r="C14" s="2" t="s">
        <v>46</v>
      </c>
      <c r="D14" s="2" t="s">
        <v>35</v>
      </c>
      <c r="E14" s="2" t="s">
        <v>36</v>
      </c>
      <c r="F14" s="2" t="str">
        <f aca="false">IFERROR(INDEX(COURSES!$A:$A,MATCH($G14,COURSES!$B:$B,0)),"")</f>
        <v>CS3510</v>
      </c>
      <c r="G14" s="2" t="s">
        <v>39</v>
      </c>
      <c r="H14" s="2" t="str">
        <f aca="false">IFERROR(INDEX(COURSES!$C:$C,MATCH($G14,COURSES!$B:$B,0))&amp;"","")</f>
        <v/>
      </c>
      <c r="I14" s="2" t="str">
        <f aca="false">IFERROR(INDEX(COURSES!$F:$F,MATCH($G14,COURSES!$B:$B,0)),"")</f>
        <v>LHC4</v>
      </c>
      <c r="J14" s="2" t="s">
        <v>31</v>
      </c>
      <c r="K14" s="2"/>
      <c r="L14" s="2"/>
      <c r="M14" s="2"/>
      <c r="N14" s="2"/>
      <c r="O14" s="2"/>
    </row>
    <row r="15" customFormat="false" ht="15" hidden="false" customHeight="false" outlineLevel="0" collapsed="false">
      <c r="A15" s="2" t="str">
        <f aca="false">SETTINGS!$B$5</f>
        <v>3rd Semester</v>
      </c>
      <c r="B15" s="2"/>
      <c r="C15" s="2" t="s">
        <v>46</v>
      </c>
      <c r="D15" s="2" t="s">
        <v>36</v>
      </c>
      <c r="E15" s="2" t="s">
        <v>38</v>
      </c>
      <c r="F15" s="2" t="str">
        <f aca="false">IFERROR(INDEX(COURSES!$A:$A,MATCH($G15,COURSES!$B:$B,0)),"")</f>
        <v>ID2230</v>
      </c>
      <c r="G15" s="2" t="s">
        <v>37</v>
      </c>
      <c r="H15" s="2" t="str">
        <f aca="false">IFERROR(INDEX(COURSES!$C:$C,MATCH($G15,COURSES!$B:$B,0))&amp;"","")</f>
        <v/>
      </c>
      <c r="I15" s="2" t="str">
        <f aca="false">IFERROR(INDEX(COURSES!$F:$F,MATCH($G15,COURSES!$B:$B,0)),"")</f>
        <v>LHC5</v>
      </c>
      <c r="J15" s="2" t="s">
        <v>31</v>
      </c>
      <c r="K15" s="2"/>
      <c r="L15" s="2"/>
      <c r="M15" s="2"/>
      <c r="N15" s="2"/>
      <c r="O15" s="2"/>
    </row>
    <row r="16" customFormat="false" ht="15" hidden="false" customHeight="false" outlineLevel="0" collapsed="false">
      <c r="A16" s="2" t="str">
        <f aca="false">SETTINGS!$B$5</f>
        <v>3rd Semester</v>
      </c>
      <c r="B16" s="2"/>
      <c r="C16" s="2" t="s">
        <v>47</v>
      </c>
      <c r="D16" s="2" t="s">
        <v>28</v>
      </c>
      <c r="E16" s="2" t="s">
        <v>29</v>
      </c>
      <c r="F16" s="2" t="str">
        <f aca="false">IFERROR(INDEX(COURSES!$A:$A,MATCH($G16,COURSES!$B:$B,0)),"")</f>
        <v>EE1206</v>
      </c>
      <c r="G16" s="2" t="s">
        <v>42</v>
      </c>
      <c r="H16" s="2" t="str">
        <f aca="false">IFERROR(INDEX(COURSES!$C:$C,MATCH($G16,COURSES!$B:$B,0))&amp;"","")</f>
        <v/>
      </c>
      <c r="I16" s="2" t="str">
        <f aca="false">IFERROR(INDEX(COURSES!$F:$F,MATCH($G16,COURSES!$B:$B,0)),"")</f>
        <v>LHC4</v>
      </c>
      <c r="J16" s="2" t="s">
        <v>31</v>
      </c>
      <c r="K16" s="2"/>
      <c r="L16" s="2"/>
      <c r="M16" s="2"/>
      <c r="N16" s="2"/>
      <c r="O16" s="2"/>
    </row>
    <row r="17" customFormat="false" ht="15" hidden="false" customHeight="false" outlineLevel="0" collapsed="false">
      <c r="A17" s="2" t="str">
        <f aca="false">SETTINGS!$B$5</f>
        <v>3rd Semester</v>
      </c>
      <c r="B17" s="2"/>
      <c r="C17" s="2" t="s">
        <v>47</v>
      </c>
      <c r="D17" s="2" t="s">
        <v>29</v>
      </c>
      <c r="E17" s="2" t="s">
        <v>41</v>
      </c>
      <c r="F17" s="2" t="str">
        <f aca="false">IFERROR(INDEX(COURSES!$A:$A,MATCH($G17,COURSES!$B:$B,0)),"")</f>
        <v>MA2550</v>
      </c>
      <c r="G17" s="2" t="s">
        <v>43</v>
      </c>
      <c r="H17" s="2" t="str">
        <f aca="false">IFERROR(INDEX(COURSES!$C:$C,MATCH($G17,COURSES!$B:$B,0))&amp;"","")</f>
        <v/>
      </c>
      <c r="I17" s="2" t="str">
        <f aca="false">IFERROR(INDEX(COURSES!$F:$F,MATCH($G17,COURSES!$B:$B,0)),"")</f>
        <v>LHC3</v>
      </c>
      <c r="J17" s="2" t="s">
        <v>31</v>
      </c>
      <c r="K17" s="2"/>
      <c r="L17" s="2"/>
      <c r="M17" s="2"/>
      <c r="N17" s="2"/>
      <c r="O17" s="2"/>
    </row>
    <row r="18" customFormat="false" ht="15" hidden="false" customHeight="false" outlineLevel="0" collapsed="false">
      <c r="A18" s="2" t="str">
        <f aca="false">SETTINGS!$B$5</f>
        <v>3rd Semester</v>
      </c>
      <c r="B18" s="2"/>
      <c r="C18" s="2" t="s">
        <v>47</v>
      </c>
      <c r="D18" s="2" t="s">
        <v>41</v>
      </c>
      <c r="E18" s="2" t="s">
        <v>32</v>
      </c>
      <c r="F18" s="2" t="str">
        <f aca="false">IFERROR(INDEX(COURSES!$A:$A,MATCH($G18,COURSES!$B:$B,0)),"")</f>
        <v>MA2150</v>
      </c>
      <c r="G18" s="2" t="s">
        <v>34</v>
      </c>
      <c r="H18" s="2" t="str">
        <f aca="false">IFERROR(INDEX(COURSES!$C:$C,MATCH($G18,COURSES!$B:$B,0))&amp;"","")</f>
        <v/>
      </c>
      <c r="I18" s="2" t="str">
        <f aca="false">IFERROR(INDEX(COURSES!$F:$F,MATCH($G18,COURSES!$B:$B,0)),"")</f>
        <v>LHC4</v>
      </c>
      <c r="J18" s="2" t="s">
        <v>31</v>
      </c>
      <c r="K18" s="2"/>
      <c r="L18" s="2"/>
      <c r="M18" s="2"/>
      <c r="N18" s="2"/>
      <c r="O18" s="2"/>
    </row>
    <row r="19" customFormat="false" ht="15" hidden="false" customHeight="false" outlineLevel="0" collapsed="false">
      <c r="A19" s="2" t="str">
        <f aca="false">SETTINGS!$B$5</f>
        <v>3rd Semester</v>
      </c>
      <c r="B19" s="2"/>
      <c r="C19" s="2" t="s">
        <v>47</v>
      </c>
      <c r="D19" s="2" t="s">
        <v>35</v>
      </c>
      <c r="E19" s="2" t="s">
        <v>36</v>
      </c>
      <c r="F19" s="2" t="str">
        <f aca="false">IFERROR(INDEX(COURSES!$A:$A,MATCH($G19,COURSES!$B:$B,0)),"")</f>
        <v>MA2540</v>
      </c>
      <c r="G19" s="2" t="s">
        <v>44</v>
      </c>
      <c r="H19" s="2" t="str">
        <f aca="false">IFERROR(INDEX(COURSES!$C:$C,MATCH($G19,COURSES!$B:$B,0))&amp;"","")</f>
        <v/>
      </c>
      <c r="I19" s="2" t="str">
        <f aca="false">IFERROR(INDEX(COURSES!$F:$F,MATCH($G19,COURSES!$B:$B,0)),"")</f>
        <v>MA01</v>
      </c>
      <c r="J19" s="2" t="s">
        <v>31</v>
      </c>
      <c r="K19" s="2"/>
      <c r="L19" s="2"/>
      <c r="M19" s="2"/>
      <c r="N19" s="2"/>
      <c r="O19" s="2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8" min="7" style="0" width="21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26" min="12" style="0" width="8.71"/>
  </cols>
  <sheetData>
    <row r="1" customFormat="false" ht="15" hidden="false" customHeight="false" outlineLevel="0" collapsed="false">
      <c r="A1" s="1" t="s">
        <v>17</v>
      </c>
      <c r="B1" s="1" t="s">
        <v>18</v>
      </c>
      <c r="C1" s="1" t="s">
        <v>19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1" t="s">
        <v>55</v>
      </c>
    </row>
    <row r="2" customFormat="false" ht="15" hidden="false" customHeight="false" outlineLevel="0" collapsed="false">
      <c r="A2" s="3" t="s">
        <v>56</v>
      </c>
      <c r="B2" s="2" t="s">
        <v>30</v>
      </c>
      <c r="C2" s="2"/>
      <c r="D2" s="2" t="n">
        <v>3</v>
      </c>
      <c r="E2" s="2" t="s">
        <v>57</v>
      </c>
      <c r="F2" s="2" t="s">
        <v>58</v>
      </c>
      <c r="G2" s="2"/>
      <c r="H2" s="2"/>
      <c r="I2" s="2"/>
      <c r="J2" s="2" t="s">
        <v>59</v>
      </c>
      <c r="K2" s="2" t="s">
        <v>60</v>
      </c>
    </row>
    <row r="3" customFormat="false" ht="15" hidden="false" customHeight="false" outlineLevel="0" collapsed="false">
      <c r="A3" s="3" t="s">
        <v>61</v>
      </c>
      <c r="B3" s="2" t="s">
        <v>34</v>
      </c>
      <c r="C3" s="2"/>
      <c r="D3" s="2" t="n">
        <v>1</v>
      </c>
      <c r="E3" s="2" t="s">
        <v>62</v>
      </c>
      <c r="F3" s="2" t="s">
        <v>63</v>
      </c>
      <c r="G3" s="2"/>
      <c r="H3" s="2"/>
      <c r="I3" s="2"/>
      <c r="J3" s="2"/>
      <c r="K3" s="2" t="s">
        <v>60</v>
      </c>
    </row>
    <row r="4" customFormat="false" ht="15" hidden="false" customHeight="false" outlineLevel="0" collapsed="false">
      <c r="A4" s="3" t="s">
        <v>64</v>
      </c>
      <c r="B4" s="2" t="s">
        <v>37</v>
      </c>
      <c r="C4" s="2"/>
      <c r="D4" s="2" t="n">
        <v>3</v>
      </c>
      <c r="E4" s="2" t="s">
        <v>62</v>
      </c>
      <c r="F4" s="2" t="s">
        <v>65</v>
      </c>
      <c r="G4" s="2"/>
      <c r="H4" s="2"/>
      <c r="I4" s="2"/>
      <c r="J4" s="2"/>
      <c r="K4" s="2" t="s">
        <v>60</v>
      </c>
    </row>
    <row r="5" customFormat="false" ht="15" hidden="false" customHeight="false" outlineLevel="0" collapsed="false">
      <c r="A5" s="3" t="s">
        <v>66</v>
      </c>
      <c r="B5" s="2" t="s">
        <v>39</v>
      </c>
      <c r="C5" s="2"/>
      <c r="D5" s="2" t="n">
        <v>1</v>
      </c>
      <c r="E5" s="2" t="s">
        <v>62</v>
      </c>
      <c r="F5" s="2" t="s">
        <v>63</v>
      </c>
      <c r="G5" s="2"/>
      <c r="H5" s="2"/>
      <c r="I5" s="2"/>
      <c r="J5" s="2"/>
      <c r="K5" s="2" t="s">
        <v>60</v>
      </c>
    </row>
    <row r="6" customFormat="false" ht="15" hidden="false" customHeight="false" outlineLevel="0" collapsed="false">
      <c r="A6" s="3" t="s">
        <v>67</v>
      </c>
      <c r="B6" s="2" t="s">
        <v>42</v>
      </c>
      <c r="C6" s="2"/>
      <c r="D6" s="2" t="n">
        <v>3</v>
      </c>
      <c r="E6" s="2" t="s">
        <v>62</v>
      </c>
      <c r="F6" s="2" t="s">
        <v>63</v>
      </c>
      <c r="G6" s="2"/>
      <c r="H6" s="2"/>
      <c r="I6" s="2"/>
      <c r="J6" s="2" t="s">
        <v>68</v>
      </c>
      <c r="K6" s="2" t="s">
        <v>60</v>
      </c>
    </row>
    <row r="7" customFormat="false" ht="15" hidden="false" customHeight="false" outlineLevel="0" collapsed="false">
      <c r="A7" s="3" t="s">
        <v>69</v>
      </c>
      <c r="B7" s="2" t="s">
        <v>43</v>
      </c>
      <c r="C7" s="2"/>
      <c r="D7" s="2" t="n">
        <v>3</v>
      </c>
      <c r="E7" s="2" t="s">
        <v>62</v>
      </c>
      <c r="F7" s="2" t="s">
        <v>70</v>
      </c>
      <c r="G7" s="2"/>
      <c r="H7" s="2"/>
      <c r="I7" s="2"/>
      <c r="J7" s="2" t="s">
        <v>71</v>
      </c>
      <c r="K7" s="2" t="s">
        <v>60</v>
      </c>
    </row>
    <row r="8" customFormat="false" ht="15" hidden="false" customHeight="false" outlineLevel="0" collapsed="false">
      <c r="A8" s="3" t="s">
        <v>72</v>
      </c>
      <c r="B8" s="2" t="s">
        <v>44</v>
      </c>
      <c r="C8" s="2"/>
      <c r="D8" s="2" t="n">
        <v>4</v>
      </c>
      <c r="E8" s="2" t="s">
        <v>62</v>
      </c>
      <c r="F8" s="2" t="s">
        <v>73</v>
      </c>
      <c r="G8" s="2"/>
      <c r="H8" s="2"/>
      <c r="I8" s="2"/>
      <c r="J8" s="2" t="s">
        <v>74</v>
      </c>
      <c r="K8" s="2" t="s">
        <v>60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7"/>
    <col collapsed="false" customWidth="true" hidden="false" outlineLevel="0" max="5" min="4" style="0" width="19"/>
    <col collapsed="false" customWidth="true" hidden="false" outlineLevel="0" max="10" min="6" style="0" width="14"/>
    <col collapsed="false" customWidth="true" hidden="false" outlineLevel="0" max="11" min="11" style="0" width="21"/>
    <col collapsed="false" customWidth="true" hidden="false" outlineLevel="0" max="12" min="12" style="0" width="17"/>
    <col collapsed="false" customWidth="true" hidden="false" outlineLevel="0" max="13" min="13" style="0" width="14"/>
    <col collapsed="false" customWidth="true" hidden="false" outlineLevel="0" max="14" min="14" style="0" width="23"/>
    <col collapsed="false" customWidth="true" hidden="false" outlineLevel="0" max="15" min="15" style="0" width="17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6" min="18" style="0" width="8.71"/>
  </cols>
  <sheetData>
    <row r="1" customFormat="false" ht="15" hidden="false" customHeight="false" outlineLevel="0" collapsed="false">
      <c r="A1" s="1" t="s">
        <v>12</v>
      </c>
      <c r="B1" s="1" t="s">
        <v>17</v>
      </c>
      <c r="C1" s="1" t="s">
        <v>75</v>
      </c>
      <c r="D1" s="1" t="s">
        <v>76</v>
      </c>
      <c r="E1" s="1" t="s">
        <v>77</v>
      </c>
      <c r="F1" s="1" t="s">
        <v>13</v>
      </c>
      <c r="G1" s="1" t="s">
        <v>15</v>
      </c>
      <c r="H1" s="1" t="s">
        <v>16</v>
      </c>
      <c r="I1" s="1" t="s">
        <v>20</v>
      </c>
      <c r="J1" s="1" t="s">
        <v>78</v>
      </c>
      <c r="K1" s="1" t="s">
        <v>79</v>
      </c>
      <c r="L1" s="1" t="s">
        <v>80</v>
      </c>
      <c r="M1" s="1" t="s">
        <v>21</v>
      </c>
      <c r="N1" s="1" t="s">
        <v>81</v>
      </c>
      <c r="O1" s="1" t="s">
        <v>82</v>
      </c>
      <c r="P1" s="1" t="s">
        <v>83</v>
      </c>
      <c r="Q1" s="1" t="s">
        <v>84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20"/>
    <col collapsed="false" customWidth="true" hidden="false" outlineLevel="0" max="9" min="8" style="0" width="14"/>
    <col collapsed="false" customWidth="true" hidden="false" outlineLevel="0" max="26" min="10" style="0" width="8.71"/>
  </cols>
  <sheetData>
    <row r="1" customFormat="false" ht="15" hidden="false" customHeight="false" outlineLevel="0" collapsed="false">
      <c r="A1" s="1" t="s">
        <v>17</v>
      </c>
      <c r="B1" s="1" t="s">
        <v>85</v>
      </c>
      <c r="C1" s="1" t="s">
        <v>86</v>
      </c>
      <c r="D1" s="1" t="s">
        <v>87</v>
      </c>
      <c r="E1" s="1" t="s">
        <v>13</v>
      </c>
      <c r="F1" s="1" t="s">
        <v>88</v>
      </c>
      <c r="G1" s="1" t="s">
        <v>89</v>
      </c>
      <c r="H1" s="1" t="s">
        <v>90</v>
      </c>
      <c r="I1" s="1" t="s">
        <v>91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9" min="1" style="0" width="14"/>
    <col collapsed="false" customWidth="true" hidden="false" outlineLevel="0" max="10" min="10" style="0" width="15"/>
    <col collapsed="false" customWidth="true" hidden="false" outlineLevel="0" max="12" min="11" style="0" width="14"/>
    <col collapsed="false" customWidth="true" hidden="false" outlineLevel="0" max="26" min="13" style="0" width="8.71"/>
  </cols>
  <sheetData>
    <row r="1" customFormat="false" ht="15" hidden="false" customHeight="false" outlineLevel="0" collapsed="false">
      <c r="A1" s="1" t="s">
        <v>92</v>
      </c>
      <c r="B1" s="1" t="s">
        <v>12</v>
      </c>
      <c r="C1" s="1" t="s">
        <v>17</v>
      </c>
      <c r="D1" s="1" t="s">
        <v>93</v>
      </c>
      <c r="E1" s="1" t="s">
        <v>94</v>
      </c>
      <c r="F1" s="1" t="s">
        <v>13</v>
      </c>
      <c r="G1" s="1" t="s">
        <v>15</v>
      </c>
      <c r="H1" s="1" t="s">
        <v>16</v>
      </c>
      <c r="I1" s="1" t="s">
        <v>20</v>
      </c>
      <c r="J1" s="1" t="s">
        <v>88</v>
      </c>
      <c r="K1" s="1" t="s">
        <v>95</v>
      </c>
      <c r="L1" s="1" t="s">
        <v>21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9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26" min="6" style="0" width="8.71"/>
  </cols>
  <sheetData>
    <row r="1" customFormat="false" ht="15" hidden="false" customHeight="false" outlineLevel="0" collapsed="false">
      <c r="A1" s="1" t="s">
        <v>96</v>
      </c>
      <c r="B1" s="1" t="s">
        <v>93</v>
      </c>
      <c r="C1" s="1" t="s">
        <v>97</v>
      </c>
      <c r="D1" s="1" t="s">
        <v>98</v>
      </c>
      <c r="E1" s="1" t="s">
        <v>99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4" min="2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26" min="8" style="0" width="8.71"/>
  </cols>
  <sheetData>
    <row r="1" customFormat="false" ht="15" hidden="false" customHeight="false" outlineLevel="0" collapsed="false">
      <c r="A1" s="1" t="s">
        <v>100</v>
      </c>
      <c r="B1" s="1" t="s">
        <v>87</v>
      </c>
      <c r="C1" s="1" t="s">
        <v>13</v>
      </c>
      <c r="D1" s="1" t="s">
        <v>101</v>
      </c>
      <c r="E1" s="1" t="s">
        <v>88</v>
      </c>
      <c r="F1" s="1" t="s">
        <v>95</v>
      </c>
      <c r="G1" s="1" t="s">
        <v>55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4" min="2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26" min="8" style="0" width="8.71"/>
  </cols>
  <sheetData>
    <row r="1" customFormat="false" ht="15" hidden="false" customHeight="false" outlineLevel="0" collapsed="false">
      <c r="A1" s="1" t="s">
        <v>100</v>
      </c>
      <c r="B1" s="1" t="s">
        <v>87</v>
      </c>
      <c r="C1" s="1" t="s">
        <v>13</v>
      </c>
      <c r="D1" s="1" t="s">
        <v>101</v>
      </c>
      <c r="E1" s="1" t="s">
        <v>88</v>
      </c>
      <c r="F1" s="1" t="s">
        <v>95</v>
      </c>
      <c r="G1" s="1" t="s">
        <v>55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2026-10-08T07:11:07Z</dcterms:created>
  <dc:creator>openpyxl</dc:creator>
  <dc:description/>
  <dc:language>en-US</dc:language>
  <cp:lastModifiedBy/>
  <dcterms:modified xsi:type="dcterms:W3CDTF">2026-10-08T07:11:07Z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